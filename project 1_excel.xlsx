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A6C45E20F14B7F/Documents/"/>
    </mc:Choice>
  </mc:AlternateContent>
  <xr:revisionPtr revIDLastSave="67" documentId="8_{6AEBE494-D346-4F40-B7BC-E6D738065370}" xr6:coauthVersionLast="47" xr6:coauthVersionMax="47" xr10:uidLastSave="{6E54E868-4CF2-451A-A11C-1ADA3C61A670}"/>
  <bookViews>
    <workbookView xWindow="-108" yWindow="-108" windowWidth="23256" windowHeight="12456" xr2:uid="{8B60AFAE-68A9-4B4B-A6AC-6FDC4FE24DC1}"/>
  </bookViews>
  <sheets>
    <sheet name="Sheet2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" l="1"/>
  <c r="L13" i="1" a="1"/>
  <c r="L13" i="1" s="1"/>
  <c r="M15" i="2"/>
  <c r="L15" i="2"/>
  <c r="K15" i="2"/>
  <c r="I15" i="2"/>
  <c r="K5" i="3"/>
  <c r="I13" i="2"/>
  <c r="I5" i="3"/>
  <c r="G5" i="3" a="1"/>
  <c r="G5" i="3" s="1"/>
  <c r="I11" i="2"/>
  <c r="I9" i="2"/>
  <c r="L11" i="1"/>
  <c r="L6" i="1"/>
  <c r="I6" i="2"/>
  <c r="L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H11" i="1"/>
  <c r="H12" i="1"/>
  <c r="H13" i="1"/>
  <c r="H14" i="1"/>
  <c r="G4" i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G12" i="1"/>
  <c r="G13" i="1"/>
  <c r="G14" i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3" i="1"/>
  <c r="H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<sst xmlns="http://schemas.openxmlformats.org/spreadsheetml/2006/main" count="157" uniqueCount="102">
  <si>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</si>
  <si>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</si>
  <si>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</si>
  <si>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</si>
  <si>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</si>
  <si>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</si>
  <si>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</si>
  <si>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</si>
  <si>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</si>
  <si>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</si>
  <si>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</si>
  <si>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</si>
  <si>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</si>
  <si>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</si>
  <si>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</si>
  <si>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</si>
  <si>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</si>
  <si>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</si>
  <si>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</si>
  <si>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</si>
  <si>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</si>
  <si>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</si>
  <si>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</si>
  <si>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</si>
  <si>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</si>
  <si>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</si>
  <si>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</si>
  <si>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</si>
  <si>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</si>
  <si>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</si>
  <si>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</si>
  <si>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</si>
  <si>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</si>
  <si>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</si>
  <si>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</si>
  <si>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</si>
  <si>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</si>
  <si>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</si>
  <si>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</si>
  <si>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</si>
  <si>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</si>
  <si>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</si>
  <si>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</si>
  <si>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</si>
  <si>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</si>
  <si>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</si>
  <si>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</si>
  <si>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</si>
  <si>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</si>
  <si>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</si>
  <si>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</si>
  <si>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</si>
  <si>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</si>
  <si>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</si>
  <si>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</si>
  <si>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</si>
  <si>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</si>
  <si>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</si>
  <si>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</si>
  <si>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</si>
  <si>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</si>
  <si>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</si>
  <si>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</si>
  <si>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</si>
  <si>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</si>
  <si>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</si>
  <si>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</si>
  <si>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</si>
  <si>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</si>
  <si>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</si>
  <si>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</si>
  <si>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</si>
  <si>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</si>
  <si>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</si>
  <si>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</si>
  <si>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</si>
  <si>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</si>
  <si>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</si>
  <si>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</si>
  <si>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</si>
  <si>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</si>
  <si>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</si>
  <si>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</si>
  <si>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</si>
  <si>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</si>
  <si>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</si>
  <si>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</si>
  <si>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</si>
  <si>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</si>
  <si>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grade</t>
  </si>
  <si>
    <t>percent</t>
  </si>
  <si>
    <t>discount</t>
  </si>
  <si>
    <t xml:space="preserve">top </t>
  </si>
  <si>
    <t>B</t>
  </si>
  <si>
    <t>count</t>
  </si>
  <si>
    <t>sum of product</t>
  </si>
  <si>
    <t>average</t>
  </si>
  <si>
    <t>offset</t>
  </si>
  <si>
    <t>round</t>
  </si>
  <si>
    <t>celing</t>
  </si>
  <si>
    <t>floor</t>
  </si>
  <si>
    <t>top students with gretaer than 60 %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</si>
</sst>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2" fontId="3" fillId="0" borderId="4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9" fontId="0" fillId="0" borderId="5" xfId="1" applyFont="1" applyBorder="1"/>
    <xf numFmtId="0" fontId="0" fillId="0" borderId="10" xfId="0" applyBorder="1"/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4" fontId="3" fillId="0" borderId="12" xfId="0" applyNumberFormat="1" applyFont="1" applyBorder="1" applyAlignment="1">
      <alignment horizontal="center" vertical="center" wrapText="1"/>
    </xf>
    <xf numFmtId="9" fontId="0" fillId="0" borderId="12" xfId="1" applyFont="1" applyBorder="1"/>
    <xf numFmtId="0" fontId="0" fillId="0" borderId="13" xfId="0" applyBorder="1"/>
    <xf numFmtId="22" fontId="3" fillId="0" borderId="5" xfId="0" applyNumberFormat="1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14" fontId="2" fillId="3" borderId="7" xfId="0" applyNumberFormat="1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0" fillId="3" borderId="7" xfId="0" applyFill="1" applyBorder="1"/>
    <xf numFmtId="22" fontId="3" fillId="0" borderId="1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ADDF7E-7CDD-420C-B432-54DE740EAC0A}" name="Table2" displayName="Table2" ref="A1:G21" totalsRowShown="0" headerRowDxfId="0" dataDxfId="1" headerRowBorderDxfId="10" tableBorderDxfId="11" totalsRowBorderDxfId="9">
  <autoFilter ref="A1:G21" xr:uid="{ADADDF7E-7CDD-420C-B432-54DE740EAC0A}"/>
  <tableColumns count="7">
    <tableColumn id="1" xr3:uid="{4E36D31F-0368-4189-8D9D-883BA0D7F4EE}" name="Sales ID" dataDxfId="8"/>
    <tableColumn id="2" xr3:uid="{4B4B1465-73B4-4197-AF94-A61E4E83C3F5}" name="Product" dataDxfId="7"/>
    <tableColumn id="3" xr3:uid="{8433592E-8223-44DF-92C1-51CE7E32142C}" name="Region" dataDxfId="6"/>
    <tableColumn id="4" xr3:uid="{715C7BD4-B0E5-4111-8693-F4BF379B850A}" name="Salesperson" dataDxfId="5"/>
    <tableColumn id="5" xr3:uid="{FC495CF8-A492-4F10-AA9D-0E1B82CCE42D}" name="Amount" dataDxfId="4"/>
    <tableColumn id="6" xr3:uid="{03338241-4D8A-498A-A678-A9F4DCED4207}" name="Date" dataDxfId="3"/>
    <tableColumn id="7" xr3:uid="{272772FA-EE70-4C64-8827-9F6E1E9F5549}" name="discount" dataDxfId="2">
      <calculatedColumnFormula>IF(E2&gt;10000,"discount","no discount")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7F0E70-BA88-420B-8735-50EDC6DDC217}" name="Table1" displayName="Table1" ref="A2:I22" totalsRowShown="0" headerRowDxfId="12" headerRowBorderDxfId="24" tableBorderDxfId="23" totalsRowBorderDxfId="22">
  <autoFilter ref="A2:I22" xr:uid="{2F7F0E70-BA88-420B-8735-50EDC6DDC217}"/>
  <tableColumns count="9">
    <tableColumn id="1" xr3:uid="{CCD533C1-919B-44B8-B91D-04E9B467F033}" name="Student ID" dataDxfId="21"/>
    <tableColumn id="2" xr3:uid="{B24A2C03-A8FC-43C5-A311-E710DB6796AC}" name="Name" dataDxfId="20"/>
    <tableColumn id="3" xr3:uid="{C8C893D3-9CFE-41D8-BD0A-812020A3F440}" name="Math" dataDxfId="19"/>
    <tableColumn id="4" xr3:uid="{9812C57E-F89E-4B79-881B-9D15A33E68E5}" name="Science" dataDxfId="18"/>
    <tableColumn id="5" xr3:uid="{BBF9851D-285D-4FF2-A3C5-A8BCCC0A9E27}" name="English" dataDxfId="17"/>
    <tableColumn id="6" xr3:uid="{DCDB5424-11E8-4FA8-B98F-7237EFA13805}" name="Enrollment Date" dataDxfId="16"/>
    <tableColumn id="7" xr3:uid="{5EC57AEE-D0D6-4092-802A-3756E6042E6B}" name="percent" dataDxfId="15" dataCellStyle="Percent">
      <calculatedColumnFormula>SUM(C3,D3,E3)/300</calculatedColumnFormula>
    </tableColumn>
    <tableColumn id="8" xr3:uid="{2C4E2A70-DD4C-4956-9753-B7C8421A88B8}" name="grade" dataDxfId="14">
      <calculatedColumnFormula>IF(G3&gt;0.8,"A",IF(G3&gt;=0.5,"B","C"))</calculatedColumnFormula>
    </tableColumn>
    <tableColumn id="9" xr3:uid="{FF38DC25-D6BB-4477-99D0-7130396B8668}" name="top " dataDxfId="13">
      <calculatedColumnFormula>IF(AND(Table1[[#This Row],[Math]]&gt;80, Table1[[#This Row],[Science]]&gt;80),"top","no")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79AB-650F-400B-8F16-7F49DEA25A24}">
  <dimension ref="A1:M21"/>
  <sheetViews>
    <sheetView tabSelected="1" zoomScale="117" workbookViewId="0">
      <selection activeCell="M5" sqref="M5"/>
    </sheetView>
  </sheetViews>
  <sheetFormatPr defaultRowHeight="14.4" x14ac:dyDescent="0.3"/>
  <cols>
    <col min="4" max="4" width="12.21875" customWidth="1"/>
    <col min="5" max="5" width="9.109375" customWidth="1"/>
    <col min="6" max="6" width="15.77734375" bestFit="1" customWidth="1"/>
    <col min="7" max="7" width="10.33203125" bestFit="1" customWidth="1"/>
  </cols>
  <sheetData>
    <row r="1" spans="1:13" ht="28.8" x14ac:dyDescent="0.3">
      <c r="A1" s="17" t="s">
        <v>26</v>
      </c>
      <c r="B1" s="18" t="s">
        <v>27</v>
      </c>
      <c r="C1" s="18" t="s">
        <v>28</v>
      </c>
      <c r="D1" s="18" t="s">
        <v>29</v>
      </c>
      <c r="E1" s="18" t="s">
        <v>30</v>
      </c>
      <c r="F1" s="18" t="s">
        <v>31</v>
      </c>
      <c r="G1" s="20" t="s">
        <v>91</v>
      </c>
    </row>
    <row r="2" spans="1:13" x14ac:dyDescent="0.3">
      <c r="A2" s="6">
        <v>2001</v>
      </c>
      <c r="B2" s="7" t="s">
        <v>32</v>
      </c>
      <c r="C2" s="7" t="s">
        <v>33</v>
      </c>
      <c r="D2" s="7" t="s">
        <v>34</v>
      </c>
      <c r="E2" s="7">
        <v>7048</v>
      </c>
      <c r="F2" s="16">
        <v>44927</v>
      </c>
      <c r="G2" s="10" t="str">
        <f>IF(E2&gt;10000,"discount","no discount")</f>
        <v>no discount</v>
      </c>
    </row>
    <row r="3" spans="1:13" x14ac:dyDescent="0.3">
      <c r="A3" s="6">
        <v>2002</v>
      </c>
      <c r="B3" s="7" t="s">
        <v>35</v>
      </c>
      <c r="C3" s="7" t="s">
        <v>36</v>
      </c>
      <c r="D3" s="7" t="s">
        <v>37</v>
      </c>
      <c r="E3" s="7">
        <v>17428</v>
      </c>
      <c r="F3" s="16">
        <v>44942</v>
      </c>
      <c r="G3" s="10" t="str">
        <f t="shared" ref="G3:G21" si="0">IF(E3&gt;10000,"discount","no discount")</f>
        <v>discount</v>
      </c>
    </row>
    <row r="4" spans="1:13" x14ac:dyDescent="0.3">
      <c r="A4" s="6">
        <v>2003</v>
      </c>
      <c r="B4" s="7" t="s">
        <v>38</v>
      </c>
      <c r="C4" s="7" t="s">
        <v>33</v>
      </c>
      <c r="D4" s="7" t="s">
        <v>39</v>
      </c>
      <c r="E4" s="7">
        <v>23672</v>
      </c>
      <c r="F4" s="16">
        <v>44957</v>
      </c>
      <c r="G4" s="10" t="str">
        <f t="shared" si="0"/>
        <v>discount</v>
      </c>
      <c r="I4" s="23" t="s">
        <v>95</v>
      </c>
      <c r="J4" s="23"/>
    </row>
    <row r="5" spans="1:13" x14ac:dyDescent="0.3">
      <c r="A5" s="6">
        <v>2004</v>
      </c>
      <c r="B5" s="7" t="s">
        <v>35</v>
      </c>
      <c r="C5" s="7" t="s">
        <v>40</v>
      </c>
      <c r="D5" s="7" t="s">
        <v>41</v>
      </c>
      <c r="E5" s="7">
        <v>5264</v>
      </c>
      <c r="F5" s="16">
        <v>44972</v>
      </c>
      <c r="G5" s="10" t="str">
        <f t="shared" si="0"/>
        <v>no discount</v>
      </c>
      <c r="I5" t="s">
        <v>36</v>
      </c>
      <c r="J5" t="s">
        <v>38</v>
      </c>
      <c r="M5" t="s">
        <v>50</v>
      </c>
    </row>
    <row r="6" spans="1:13" x14ac:dyDescent="0.3">
      <c r="A6" s="6">
        <v>2005</v>
      </c>
      <c r="B6" s="7" t="s">
        <v>32</v>
      </c>
      <c r="C6" s="7" t="s">
        <v>42</v>
      </c>
      <c r="D6" s="7" t="s">
        <v>43</v>
      </c>
      <c r="E6" s="7">
        <v>43388</v>
      </c>
      <c r="F6" s="16">
        <v>44987</v>
      </c>
      <c r="G6" s="10" t="str">
        <f t="shared" si="0"/>
        <v>discount</v>
      </c>
      <c r="I6">
        <f>SUMIFS(Table2[Amount],Table2[Region],I5,Table2[Product],J5)</f>
        <v>30436</v>
      </c>
      <c r="M6">
        <f>_xlfn.XMATCH(M5,Table2[Product])</f>
        <v>12</v>
      </c>
    </row>
    <row r="7" spans="1:13" x14ac:dyDescent="0.3">
      <c r="A7" s="6">
        <v>2006</v>
      </c>
      <c r="B7" s="7" t="s">
        <v>38</v>
      </c>
      <c r="C7" s="7" t="s">
        <v>42</v>
      </c>
      <c r="D7" s="7" t="s">
        <v>44</v>
      </c>
      <c r="E7" s="7">
        <v>19757</v>
      </c>
      <c r="F7" s="16">
        <v>45002</v>
      </c>
      <c r="G7" s="10" t="str">
        <f t="shared" si="0"/>
        <v>discount</v>
      </c>
    </row>
    <row r="8" spans="1:13" x14ac:dyDescent="0.3">
      <c r="A8" s="6">
        <v>2007</v>
      </c>
      <c r="B8" s="7" t="s">
        <v>38</v>
      </c>
      <c r="C8" s="7" t="s">
        <v>40</v>
      </c>
      <c r="D8" s="7" t="s">
        <v>45</v>
      </c>
      <c r="E8" s="7">
        <v>32058</v>
      </c>
      <c r="F8" s="16">
        <v>45017</v>
      </c>
      <c r="G8" s="10" t="str">
        <f t="shared" si="0"/>
        <v>discount</v>
      </c>
      <c r="I8">
        <v>2012</v>
      </c>
    </row>
    <row r="9" spans="1:13" x14ac:dyDescent="0.3">
      <c r="A9" s="6">
        <v>2008</v>
      </c>
      <c r="B9" s="7" t="s">
        <v>32</v>
      </c>
      <c r="C9" s="7" t="s">
        <v>40</v>
      </c>
      <c r="D9" s="7" t="s">
        <v>46</v>
      </c>
      <c r="E9" s="7">
        <v>46429</v>
      </c>
      <c r="F9" s="16">
        <v>45032</v>
      </c>
      <c r="G9" s="10" t="str">
        <f t="shared" si="0"/>
        <v>discount</v>
      </c>
      <c r="I9" t="str">
        <f>VLOOKUP(I8,A1:G21,2,FALSE)</f>
        <v>Monitor</v>
      </c>
    </row>
    <row r="10" spans="1:13" x14ac:dyDescent="0.3">
      <c r="A10" s="6">
        <v>2009</v>
      </c>
      <c r="B10" s="7" t="s">
        <v>35</v>
      </c>
      <c r="C10" s="7" t="s">
        <v>40</v>
      </c>
      <c r="D10" s="7" t="s">
        <v>47</v>
      </c>
      <c r="E10" s="7">
        <v>19746</v>
      </c>
      <c r="F10" s="16">
        <v>45047</v>
      </c>
      <c r="G10" s="10" t="str">
        <f t="shared" si="0"/>
        <v>discount</v>
      </c>
      <c r="I10" t="s">
        <v>34</v>
      </c>
      <c r="J10" t="s">
        <v>33</v>
      </c>
    </row>
    <row r="11" spans="1:13" ht="28.8" x14ac:dyDescent="0.3">
      <c r="A11" s="6">
        <v>2010</v>
      </c>
      <c r="B11" s="7" t="s">
        <v>32</v>
      </c>
      <c r="C11" s="7" t="s">
        <v>33</v>
      </c>
      <c r="D11" s="7" t="s">
        <v>48</v>
      </c>
      <c r="E11" s="7">
        <v>35185</v>
      </c>
      <c r="F11" s="16">
        <v>45062</v>
      </c>
      <c r="G11" s="10" t="str">
        <f t="shared" si="0"/>
        <v>discount</v>
      </c>
      <c r="I11">
        <f>INDEX(Table2[Amount],MATCH(I10,Table2[Salesperson],),MATCH(J10,Table2[Region],0))</f>
        <v>7048</v>
      </c>
    </row>
    <row r="12" spans="1:13" ht="28.8" x14ac:dyDescent="0.3">
      <c r="A12" s="6">
        <v>2011</v>
      </c>
      <c r="B12" s="7" t="s">
        <v>32</v>
      </c>
      <c r="C12" s="7" t="s">
        <v>40</v>
      </c>
      <c r="D12" s="7" t="s">
        <v>49</v>
      </c>
      <c r="E12" s="7">
        <v>33920</v>
      </c>
      <c r="F12" s="16">
        <v>45077</v>
      </c>
      <c r="G12" s="10" t="str">
        <f t="shared" si="0"/>
        <v>discount</v>
      </c>
      <c r="I12" t="s">
        <v>53</v>
      </c>
    </row>
    <row r="13" spans="1:13" ht="28.8" x14ac:dyDescent="0.3">
      <c r="A13" s="6">
        <v>2012</v>
      </c>
      <c r="B13" s="7" t="s">
        <v>50</v>
      </c>
      <c r="C13" s="7" t="s">
        <v>42</v>
      </c>
      <c r="D13" s="7" t="s">
        <v>51</v>
      </c>
      <c r="E13" s="7">
        <v>35611</v>
      </c>
      <c r="F13" s="16">
        <v>45092</v>
      </c>
      <c r="G13" s="10" t="str">
        <f t="shared" si="0"/>
        <v>discount</v>
      </c>
      <c r="I13">
        <f>_xlfn.XLOOKUP(I12,Table2[Salesperson],Table2[Amount])</f>
        <v>15560</v>
      </c>
    </row>
    <row r="14" spans="1:13" ht="28.8" x14ac:dyDescent="0.3">
      <c r="A14" s="6">
        <v>2013</v>
      </c>
      <c r="B14" s="7" t="s">
        <v>52</v>
      </c>
      <c r="C14" s="7" t="s">
        <v>40</v>
      </c>
      <c r="D14" s="7" t="s">
        <v>53</v>
      </c>
      <c r="E14" s="7">
        <v>15560</v>
      </c>
      <c r="F14" s="16">
        <v>45107</v>
      </c>
      <c r="G14" s="10" t="str">
        <f t="shared" si="0"/>
        <v>discount</v>
      </c>
      <c r="I14" t="s">
        <v>97</v>
      </c>
      <c r="K14" t="s">
        <v>98</v>
      </c>
      <c r="L14" t="s">
        <v>99</v>
      </c>
      <c r="M14" t="s">
        <v>100</v>
      </c>
    </row>
    <row r="15" spans="1:13" ht="28.8" x14ac:dyDescent="0.3">
      <c r="A15" s="6">
        <v>2014</v>
      </c>
      <c r="B15" s="7" t="s">
        <v>52</v>
      </c>
      <c r="C15" s="7" t="s">
        <v>33</v>
      </c>
      <c r="D15" s="7" t="s">
        <v>54</v>
      </c>
      <c r="E15" s="7">
        <v>7283</v>
      </c>
      <c r="F15" s="16">
        <v>45122</v>
      </c>
      <c r="G15" s="10" t="str">
        <f t="shared" si="0"/>
        <v>no discount</v>
      </c>
      <c r="I15">
        <f ca="1">SUM(OFFSET(E2,0,0,COUNTA(E:E),1))</f>
        <v>507725</v>
      </c>
      <c r="K15">
        <f>ROUND(E2,2)</f>
        <v>7048</v>
      </c>
      <c r="L15">
        <f>CEILING(E2,1)</f>
        <v>7048</v>
      </c>
      <c r="M15">
        <f>FLOOR(E3,1)</f>
        <v>17428</v>
      </c>
    </row>
    <row r="16" spans="1:13" ht="28.8" x14ac:dyDescent="0.3">
      <c r="A16" s="6">
        <v>2015</v>
      </c>
      <c r="B16" s="7" t="s">
        <v>52</v>
      </c>
      <c r="C16" s="7" t="s">
        <v>40</v>
      </c>
      <c r="D16" s="7" t="s">
        <v>55</v>
      </c>
      <c r="E16" s="7">
        <v>15678</v>
      </c>
      <c r="F16" s="16">
        <v>45137</v>
      </c>
      <c r="G16" s="10" t="str">
        <f t="shared" si="0"/>
        <v>discount</v>
      </c>
    </row>
    <row r="17" spans="1:7" ht="28.8" x14ac:dyDescent="0.3">
      <c r="A17" s="6">
        <v>2016</v>
      </c>
      <c r="B17" s="7" t="s">
        <v>38</v>
      </c>
      <c r="C17" s="7" t="s">
        <v>40</v>
      </c>
      <c r="D17" s="7" t="s">
        <v>56</v>
      </c>
      <c r="E17" s="7">
        <v>5277</v>
      </c>
      <c r="F17" s="16">
        <v>45152</v>
      </c>
      <c r="G17" s="10" t="str">
        <f t="shared" si="0"/>
        <v>no discount</v>
      </c>
    </row>
    <row r="18" spans="1:7" ht="28.8" x14ac:dyDescent="0.3">
      <c r="A18" s="6">
        <v>2017</v>
      </c>
      <c r="B18" s="7" t="s">
        <v>50</v>
      </c>
      <c r="C18" s="7" t="s">
        <v>42</v>
      </c>
      <c r="D18" s="7" t="s">
        <v>57</v>
      </c>
      <c r="E18" s="7">
        <v>41871</v>
      </c>
      <c r="F18" s="16">
        <v>45167</v>
      </c>
      <c r="G18" s="10" t="str">
        <f t="shared" si="0"/>
        <v>discount</v>
      </c>
    </row>
    <row r="19" spans="1:7" ht="28.8" x14ac:dyDescent="0.3">
      <c r="A19" s="6">
        <v>2018</v>
      </c>
      <c r="B19" s="7" t="s">
        <v>50</v>
      </c>
      <c r="C19" s="7" t="s">
        <v>36</v>
      </c>
      <c r="D19" s="7" t="s">
        <v>58</v>
      </c>
      <c r="E19" s="7">
        <v>38161</v>
      </c>
      <c r="F19" s="16">
        <v>45182</v>
      </c>
      <c r="G19" s="10" t="str">
        <f t="shared" si="0"/>
        <v>discount</v>
      </c>
    </row>
    <row r="20" spans="1:7" ht="28.8" x14ac:dyDescent="0.3">
      <c r="A20" s="6">
        <v>2019</v>
      </c>
      <c r="B20" s="7" t="s">
        <v>38</v>
      </c>
      <c r="C20" s="7" t="s">
        <v>36</v>
      </c>
      <c r="D20" s="7" t="s">
        <v>59</v>
      </c>
      <c r="E20" s="7">
        <v>30436</v>
      </c>
      <c r="F20" s="16">
        <v>45197</v>
      </c>
      <c r="G20" s="10" t="str">
        <f t="shared" si="0"/>
        <v>discount</v>
      </c>
    </row>
    <row r="21" spans="1:7" ht="28.8" x14ac:dyDescent="0.3">
      <c r="A21" s="11">
        <v>2020</v>
      </c>
      <c r="B21" s="12" t="s">
        <v>35</v>
      </c>
      <c r="C21" s="12" t="s">
        <v>36</v>
      </c>
      <c r="D21" s="12" t="s">
        <v>60</v>
      </c>
      <c r="E21" s="12">
        <v>33953</v>
      </c>
      <c r="F21" s="22">
        <v>45212</v>
      </c>
      <c r="G21" s="15" t="str">
        <f t="shared" si="0"/>
        <v>discount</v>
      </c>
    </row>
  </sheetData>
  <mergeCells count="1">
    <mergeCell ref="I4:J4"/>
  </mergeCells>
  <dataValidations count="4">
    <dataValidation type="list" allowBlank="1" showInputMessage="1" showErrorMessage="1" sqref="I5" xr:uid="{74193031-4211-4F58-82BD-503C44DE1815}">
      <formula1>$C:$C</formula1>
    </dataValidation>
    <dataValidation type="list" allowBlank="1" showInputMessage="1" showErrorMessage="1" sqref="J5 M5" xr:uid="{6EC80AED-764A-4F2C-A895-03300FFDC1EC}">
      <formula1>$B:$B</formula1>
    </dataValidation>
    <dataValidation type="list" allowBlank="1" showInputMessage="1" showErrorMessage="1" sqref="I8" xr:uid="{1BECED98-177F-4020-BD15-29B43E327C94}">
      <formula1>$A:$A</formula1>
    </dataValidation>
    <dataValidation type="list" allowBlank="1" showInputMessage="1" showErrorMessage="1" sqref="I12" xr:uid="{FB353C37-7D05-4AA1-A1FD-005977F3C1BE}">
      <formula1>$D:$D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9D4B-D7FA-41C8-9F9E-D36C186F66F5}">
  <dimension ref="A1:K24"/>
  <sheetViews>
    <sheetView zoomScale="116" workbookViewId="0">
      <selection activeCell="L8" sqref="L8"/>
    </sheetView>
  </sheetViews>
  <sheetFormatPr defaultRowHeight="14.4" x14ac:dyDescent="0.3"/>
  <cols>
    <col min="5" max="5" width="15.77734375" bestFit="1" customWidth="1"/>
  </cols>
  <sheetData>
    <row r="1" spans="1:11" ht="29.4" thickBot="1" x14ac:dyDescent="0.35">
      <c r="A1" s="1" t="s">
        <v>61</v>
      </c>
      <c r="B1" s="2" t="s">
        <v>1</v>
      </c>
      <c r="C1" s="2" t="s">
        <v>62</v>
      </c>
      <c r="D1" s="2" t="s">
        <v>63</v>
      </c>
      <c r="E1" s="2" t="s">
        <v>64</v>
      </c>
    </row>
    <row r="2" spans="1:11" ht="29.4" thickBot="1" x14ac:dyDescent="0.35">
      <c r="A2" s="3">
        <v>3001</v>
      </c>
      <c r="B2" s="4" t="s">
        <v>65</v>
      </c>
      <c r="C2" s="4" t="s">
        <v>66</v>
      </c>
      <c r="D2" s="4">
        <v>86766</v>
      </c>
      <c r="E2" s="5">
        <v>42005</v>
      </c>
    </row>
    <row r="3" spans="1:11" ht="29.4" thickBot="1" x14ac:dyDescent="0.35">
      <c r="A3" s="3">
        <v>3002</v>
      </c>
      <c r="B3" s="4" t="s">
        <v>67</v>
      </c>
      <c r="C3" s="4" t="s">
        <v>66</v>
      </c>
      <c r="D3" s="4">
        <v>31943</v>
      </c>
      <c r="E3" s="5">
        <v>42255</v>
      </c>
    </row>
    <row r="4" spans="1:11" ht="29.4" thickBot="1" x14ac:dyDescent="0.35">
      <c r="A4" s="3">
        <v>3003</v>
      </c>
      <c r="B4" s="4" t="s">
        <v>68</v>
      </c>
      <c r="C4" s="4" t="s">
        <v>69</v>
      </c>
      <c r="D4" s="4">
        <v>63374</v>
      </c>
      <c r="E4" s="5">
        <v>42505</v>
      </c>
      <c r="K4" t="s">
        <v>65</v>
      </c>
    </row>
    <row r="5" spans="1:11" ht="29.4" thickBot="1" x14ac:dyDescent="0.35">
      <c r="A5" s="3">
        <v>3004</v>
      </c>
      <c r="B5" s="4" t="s">
        <v>70</v>
      </c>
      <c r="C5" s="4" t="s">
        <v>66</v>
      </c>
      <c r="D5" s="4">
        <v>109972</v>
      </c>
      <c r="E5" s="5">
        <v>42755</v>
      </c>
      <c r="G5" t="str" cm="1">
        <f t="array" ref="G5:G24">UPPER(B2:B21)</f>
        <v>EMPLOYEE 1</v>
      </c>
      <c r="I5" t="str">
        <f>LOWER(G5)</f>
        <v>employee 1</v>
      </c>
      <c r="K5">
        <f>_xlfn.XLOOKUP(K4,B:B,D:D)</f>
        <v>86766</v>
      </c>
    </row>
    <row r="6" spans="1:11" ht="29.4" thickBot="1" x14ac:dyDescent="0.35">
      <c r="A6" s="3">
        <v>3005</v>
      </c>
      <c r="B6" s="4" t="s">
        <v>71</v>
      </c>
      <c r="C6" s="4" t="s">
        <v>72</v>
      </c>
      <c r="D6" s="4">
        <v>54149</v>
      </c>
      <c r="E6" s="5">
        <v>43005</v>
      </c>
      <c r="G6" t="str">
        <v>EMPLOYEE 2</v>
      </c>
    </row>
    <row r="7" spans="1:11" ht="29.4" thickBot="1" x14ac:dyDescent="0.35">
      <c r="A7" s="3">
        <v>3006</v>
      </c>
      <c r="B7" s="4" t="s">
        <v>73</v>
      </c>
      <c r="C7" s="4" t="s">
        <v>72</v>
      </c>
      <c r="D7" s="4">
        <v>78689</v>
      </c>
      <c r="E7" s="5">
        <v>43255</v>
      </c>
      <c r="G7" t="str">
        <v>EMPLOYEE 3</v>
      </c>
    </row>
    <row r="8" spans="1:11" ht="29.4" thickBot="1" x14ac:dyDescent="0.35">
      <c r="A8" s="3">
        <v>3007</v>
      </c>
      <c r="B8" s="4" t="s">
        <v>74</v>
      </c>
      <c r="C8" s="4" t="s">
        <v>75</v>
      </c>
      <c r="D8" s="4">
        <v>35960</v>
      </c>
      <c r="E8" s="5">
        <v>43505</v>
      </c>
      <c r="G8" t="str">
        <v>EMPLOYEE 4</v>
      </c>
    </row>
    <row r="9" spans="1:11" ht="29.4" thickBot="1" x14ac:dyDescent="0.35">
      <c r="A9" s="3">
        <v>3008</v>
      </c>
      <c r="B9" s="4" t="s">
        <v>76</v>
      </c>
      <c r="C9" s="4" t="s">
        <v>72</v>
      </c>
      <c r="D9" s="4">
        <v>91659</v>
      </c>
      <c r="E9" s="5">
        <v>43755</v>
      </c>
      <c r="G9" t="str">
        <v>EMPLOYEE 5</v>
      </c>
    </row>
    <row r="10" spans="1:11" ht="29.4" thickBot="1" x14ac:dyDescent="0.35">
      <c r="A10" s="3">
        <v>3009</v>
      </c>
      <c r="B10" s="4" t="s">
        <v>77</v>
      </c>
      <c r="C10" s="4" t="s">
        <v>72</v>
      </c>
      <c r="D10" s="4">
        <v>90423</v>
      </c>
      <c r="E10" s="5">
        <v>44005</v>
      </c>
      <c r="G10" t="str">
        <v>EMPLOYEE 6</v>
      </c>
    </row>
    <row r="11" spans="1:11" ht="29.4" thickBot="1" x14ac:dyDescent="0.35">
      <c r="A11" s="3">
        <v>3010</v>
      </c>
      <c r="B11" s="4" t="s">
        <v>78</v>
      </c>
      <c r="C11" s="4" t="s">
        <v>69</v>
      </c>
      <c r="D11" s="4">
        <v>107877</v>
      </c>
      <c r="E11" s="5">
        <v>44255</v>
      </c>
      <c r="G11" t="str">
        <v>EMPLOYEE 7</v>
      </c>
    </row>
    <row r="12" spans="1:11" ht="29.4" thickBot="1" x14ac:dyDescent="0.35">
      <c r="A12" s="3">
        <v>3011</v>
      </c>
      <c r="B12" s="4" t="s">
        <v>79</v>
      </c>
      <c r="C12" s="4" t="s">
        <v>66</v>
      </c>
      <c r="D12" s="4">
        <v>107634</v>
      </c>
      <c r="E12" s="5">
        <v>44505</v>
      </c>
      <c r="G12" t="str">
        <v>EMPLOYEE 8</v>
      </c>
    </row>
    <row r="13" spans="1:11" ht="29.4" thickBot="1" x14ac:dyDescent="0.35">
      <c r="A13" s="3">
        <v>3012</v>
      </c>
      <c r="B13" s="4" t="s">
        <v>80</v>
      </c>
      <c r="C13" s="4" t="s">
        <v>66</v>
      </c>
      <c r="D13" s="4">
        <v>35226</v>
      </c>
      <c r="E13" s="5">
        <v>44755</v>
      </c>
      <c r="G13" t="str">
        <v>EMPLOYEE 9</v>
      </c>
    </row>
    <row r="14" spans="1:11" ht="29.4" thickBot="1" x14ac:dyDescent="0.35">
      <c r="A14" s="3">
        <v>3013</v>
      </c>
      <c r="B14" s="4" t="s">
        <v>81</v>
      </c>
      <c r="C14" s="4" t="s">
        <v>69</v>
      </c>
      <c r="D14" s="4">
        <v>40872</v>
      </c>
      <c r="E14" s="5">
        <v>45005</v>
      </c>
      <c r="G14" t="str">
        <v>EMPLOYEE 10</v>
      </c>
    </row>
    <row r="15" spans="1:11" ht="29.4" thickBot="1" x14ac:dyDescent="0.35">
      <c r="A15" s="3">
        <v>3014</v>
      </c>
      <c r="B15" s="4" t="s">
        <v>82</v>
      </c>
      <c r="C15" s="4" t="s">
        <v>69</v>
      </c>
      <c r="D15" s="4">
        <v>55378</v>
      </c>
      <c r="E15" s="5">
        <v>45255</v>
      </c>
      <c r="G15" t="str">
        <v>EMPLOYEE 11</v>
      </c>
    </row>
    <row r="16" spans="1:11" ht="29.4" thickBot="1" x14ac:dyDescent="0.35">
      <c r="A16" s="3">
        <v>3015</v>
      </c>
      <c r="B16" s="4" t="s">
        <v>83</v>
      </c>
      <c r="C16" s="4" t="s">
        <v>69</v>
      </c>
      <c r="D16" s="4">
        <v>63297</v>
      </c>
      <c r="E16" s="5">
        <v>45505</v>
      </c>
      <c r="G16" t="str">
        <v>EMPLOYEE 12</v>
      </c>
    </row>
    <row r="17" spans="1:7" ht="29.4" thickBot="1" x14ac:dyDescent="0.35">
      <c r="A17" s="3">
        <v>3016</v>
      </c>
      <c r="B17" s="4" t="s">
        <v>84</v>
      </c>
      <c r="C17" s="4" t="s">
        <v>66</v>
      </c>
      <c r="D17" s="4">
        <v>114173</v>
      </c>
      <c r="E17" s="5">
        <v>45755</v>
      </c>
      <c r="G17" t="str">
        <v>EMPLOYEE 13</v>
      </c>
    </row>
    <row r="18" spans="1:7" ht="29.4" thickBot="1" x14ac:dyDescent="0.35">
      <c r="A18" s="3">
        <v>3017</v>
      </c>
      <c r="B18" s="4" t="s">
        <v>85</v>
      </c>
      <c r="C18" s="4" t="s">
        <v>69</v>
      </c>
      <c r="D18" s="4">
        <v>86915</v>
      </c>
      <c r="E18" s="5">
        <v>46005</v>
      </c>
      <c r="G18" t="str">
        <v>EMPLOYEE 14</v>
      </c>
    </row>
    <row r="19" spans="1:7" ht="29.4" thickBot="1" x14ac:dyDescent="0.35">
      <c r="A19" s="3">
        <v>3018</v>
      </c>
      <c r="B19" s="4" t="s">
        <v>86</v>
      </c>
      <c r="C19" s="4" t="s">
        <v>72</v>
      </c>
      <c r="D19" s="4">
        <v>116284</v>
      </c>
      <c r="E19" s="5">
        <v>46255</v>
      </c>
      <c r="G19" t="str">
        <v>EMPLOYEE 15</v>
      </c>
    </row>
    <row r="20" spans="1:7" ht="29.4" thickBot="1" x14ac:dyDescent="0.35">
      <c r="A20" s="3">
        <v>3019</v>
      </c>
      <c r="B20" s="4" t="s">
        <v>87</v>
      </c>
      <c r="C20" s="4" t="s">
        <v>75</v>
      </c>
      <c r="D20" s="4">
        <v>116283</v>
      </c>
      <c r="E20" s="5">
        <v>46505</v>
      </c>
      <c r="G20" t="str">
        <v>EMPLOYEE 16</v>
      </c>
    </row>
    <row r="21" spans="1:7" ht="29.4" thickBot="1" x14ac:dyDescent="0.35">
      <c r="A21" s="3">
        <v>3020</v>
      </c>
      <c r="B21" s="4" t="s">
        <v>88</v>
      </c>
      <c r="C21" s="4" t="s">
        <v>75</v>
      </c>
      <c r="D21" s="4">
        <v>99924</v>
      </c>
      <c r="E21" s="5">
        <v>46755</v>
      </c>
      <c r="G21" t="str">
        <v>EMPLOYEE 17</v>
      </c>
    </row>
    <row r="22" spans="1:7" x14ac:dyDescent="0.3">
      <c r="G22" t="str">
        <v>EMPLOYEE 18</v>
      </c>
    </row>
    <row r="23" spans="1:7" x14ac:dyDescent="0.3">
      <c r="G23" t="str">
        <v>EMPLOYEE 19</v>
      </c>
    </row>
    <row r="24" spans="1:7" x14ac:dyDescent="0.3">
      <c r="G24" t="str">
        <v>EMPLOYEE 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C9E5-CC94-488D-83B3-90158CA5D473}">
  <dimension ref="A2:O28"/>
  <sheetViews>
    <sheetView topLeftCell="A8" zoomScale="112" zoomScaleNormal="85" workbookViewId="0">
      <selection activeCell="K13" sqref="K13"/>
    </sheetView>
  </sheetViews>
  <sheetFormatPr defaultRowHeight="14.4" x14ac:dyDescent="0.3"/>
  <cols>
    <col min="1" max="1" width="11.109375" customWidth="1"/>
    <col min="6" max="6" width="16" bestFit="1" customWidth="1"/>
  </cols>
  <sheetData>
    <row r="2" spans="1:15" x14ac:dyDescent="0.3">
      <c r="A2" s="17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9" t="s">
        <v>5</v>
      </c>
      <c r="G2" s="18" t="s">
        <v>90</v>
      </c>
      <c r="H2" s="20" t="s">
        <v>89</v>
      </c>
      <c r="I2" s="21" t="s">
        <v>92</v>
      </c>
      <c r="L2" t="s">
        <v>94</v>
      </c>
    </row>
    <row r="3" spans="1:15" x14ac:dyDescent="0.3">
      <c r="A3" s="6">
        <v>1001</v>
      </c>
      <c r="B3" s="7" t="s">
        <v>6</v>
      </c>
      <c r="C3" s="7">
        <v>61</v>
      </c>
      <c r="D3" s="7">
        <v>48</v>
      </c>
      <c r="E3" s="7">
        <v>76</v>
      </c>
      <c r="F3" s="8">
        <v>43101</v>
      </c>
      <c r="G3" s="9">
        <f>SUM(C3,D3,E3)/300</f>
        <v>0.6166666666666667</v>
      </c>
      <c r="H3" s="10" t="str">
        <f>IF(G3&gt;0.8,"A",IF(G3&gt;=0.5,"B","C"))</f>
        <v>B</v>
      </c>
      <c r="I3" t="str">
        <f>IF(AND(Table1[[#This Row],[Math]]&gt;80, Table1[[#This Row],[Science]]&gt;80),"top","no")</f>
        <v>no</v>
      </c>
      <c r="L3">
        <f>COUNTIF(Table1[Math],"&gt;50")</f>
        <v>19</v>
      </c>
    </row>
    <row r="4" spans="1:15" x14ac:dyDescent="0.3">
      <c r="A4" s="6">
        <v>1002</v>
      </c>
      <c r="B4" s="7" t="s">
        <v>7</v>
      </c>
      <c r="C4" s="7">
        <v>78</v>
      </c>
      <c r="D4" s="7">
        <v>76</v>
      </c>
      <c r="E4" s="7">
        <v>70</v>
      </c>
      <c r="F4" s="8">
        <v>43281</v>
      </c>
      <c r="G4" s="9">
        <f t="shared" ref="G4:G22" si="0">SUM(C4,D4,E4)/300</f>
        <v>0.7466666666666667</v>
      </c>
      <c r="H4" s="10" t="s">
        <v>93</v>
      </c>
      <c r="I4" t="str">
        <f>IF(AND(Table1[[#This Row],[Math]]&gt;80, Table1[[#This Row],[Science]]&gt;80),"top","no")</f>
        <v>no</v>
      </c>
    </row>
    <row r="5" spans="1:15" x14ac:dyDescent="0.3">
      <c r="A5" s="6">
        <v>1003</v>
      </c>
      <c r="B5" s="7" t="s">
        <v>8</v>
      </c>
      <c r="C5" s="7">
        <v>97</v>
      </c>
      <c r="D5" s="7">
        <v>60</v>
      </c>
      <c r="E5" s="7">
        <v>51</v>
      </c>
      <c r="F5" s="8">
        <v>43461</v>
      </c>
      <c r="G5" s="9">
        <f t="shared" si="0"/>
        <v>0.69333333333333336</v>
      </c>
      <c r="H5" s="10" t="str">
        <f t="shared" ref="H5:H22" si="1">IF(G5&gt;0.8,"A",IF(G5&gt;=0.5,"B","C"))</f>
        <v>B</v>
      </c>
      <c r="I5" t="str">
        <f>IF(AND(Table1[[#This Row],[Math]]&gt;80, Table1[[#This Row],[Science]]&gt;80),"top","no")</f>
        <v>no</v>
      </c>
      <c r="L5" t="s">
        <v>96</v>
      </c>
    </row>
    <row r="6" spans="1:15" x14ac:dyDescent="0.3">
      <c r="A6" s="6">
        <v>1004</v>
      </c>
      <c r="B6" s="7" t="s">
        <v>9</v>
      </c>
      <c r="C6" s="7">
        <v>74</v>
      </c>
      <c r="D6" s="7">
        <v>55</v>
      </c>
      <c r="E6" s="7">
        <v>46</v>
      </c>
      <c r="F6" s="8">
        <v>43641</v>
      </c>
      <c r="G6" s="9">
        <f t="shared" si="0"/>
        <v>0.58333333333333337</v>
      </c>
      <c r="H6" s="10" t="str">
        <f t="shared" si="1"/>
        <v>B</v>
      </c>
      <c r="I6" t="str">
        <f>IF(AND(Table1[[#This Row],[Math]]&gt;80, Table1[[#This Row],[Science]]&gt;80),"top","no")</f>
        <v>no</v>
      </c>
      <c r="L6">
        <f>AVERAGEIF(Table1[Math],"&gt;60")</f>
        <v>82.263157894736835</v>
      </c>
    </row>
    <row r="7" spans="1:15" x14ac:dyDescent="0.3">
      <c r="A7" s="6">
        <v>1005</v>
      </c>
      <c r="B7" s="7" t="s">
        <v>10</v>
      </c>
      <c r="C7" s="7">
        <v>68</v>
      </c>
      <c r="D7" s="7">
        <v>74</v>
      </c>
      <c r="E7" s="7">
        <v>84</v>
      </c>
      <c r="F7" s="8">
        <v>43821</v>
      </c>
      <c r="G7" s="9">
        <f t="shared" si="0"/>
        <v>0.7533333333333333</v>
      </c>
      <c r="H7" s="10" t="str">
        <f t="shared" si="1"/>
        <v>B</v>
      </c>
      <c r="I7" t="str">
        <f>IF(AND(Table1[[#This Row],[Math]]&gt;80, Table1[[#This Row],[Science]]&gt;80),"top","no")</f>
        <v>no</v>
      </c>
    </row>
    <row r="8" spans="1:15" x14ac:dyDescent="0.3">
      <c r="A8" s="6">
        <v>1006</v>
      </c>
      <c r="B8" s="7" t="s">
        <v>11</v>
      </c>
      <c r="C8" s="7">
        <v>80</v>
      </c>
      <c r="D8" s="7">
        <v>70</v>
      </c>
      <c r="E8" s="7">
        <v>65</v>
      </c>
      <c r="F8" s="8">
        <v>44001</v>
      </c>
      <c r="G8" s="9">
        <f t="shared" si="0"/>
        <v>0.71666666666666667</v>
      </c>
      <c r="H8" s="10" t="str">
        <f t="shared" si="1"/>
        <v>B</v>
      </c>
      <c r="I8" t="str">
        <f>IF(AND(Table1[[#This Row],[Math]]&gt;80, Table1[[#This Row],[Science]]&gt;80),"top","no")</f>
        <v>no</v>
      </c>
    </row>
    <row r="9" spans="1:15" x14ac:dyDescent="0.3">
      <c r="A9" s="6">
        <v>1007</v>
      </c>
      <c r="B9" s="7" t="s">
        <v>12</v>
      </c>
      <c r="C9" s="7">
        <v>75</v>
      </c>
      <c r="D9" s="7">
        <v>47</v>
      </c>
      <c r="E9" s="7">
        <v>78</v>
      </c>
      <c r="F9" s="8">
        <v>44181</v>
      </c>
      <c r="G9" s="9">
        <f t="shared" si="0"/>
        <v>0.66666666666666663</v>
      </c>
      <c r="H9" s="10" t="str">
        <f t="shared" si="1"/>
        <v>B</v>
      </c>
      <c r="I9" t="str">
        <f>IF(AND(Table1[[#This Row],[Math]]&gt;80, Table1[[#This Row],[Science]]&gt;80),"top","no")</f>
        <v>no</v>
      </c>
    </row>
    <row r="10" spans="1:15" x14ac:dyDescent="0.3">
      <c r="A10" s="6">
        <v>1008</v>
      </c>
      <c r="B10" s="7" t="s">
        <v>13</v>
      </c>
      <c r="C10" s="7">
        <v>94</v>
      </c>
      <c r="D10" s="7">
        <v>67</v>
      </c>
      <c r="E10" s="7">
        <v>64</v>
      </c>
      <c r="F10" s="8">
        <v>44361</v>
      </c>
      <c r="G10" s="9">
        <f t="shared" si="0"/>
        <v>0.75</v>
      </c>
      <c r="H10" s="10" t="str">
        <f t="shared" si="1"/>
        <v>B</v>
      </c>
      <c r="I10" t="str">
        <f>IF(AND(Table1[[#This Row],[Math]]&gt;80, Table1[[#This Row],[Science]]&gt;80),"top","no")</f>
        <v>no</v>
      </c>
      <c r="L10">
        <v>1001</v>
      </c>
    </row>
    <row r="11" spans="1:15" x14ac:dyDescent="0.3">
      <c r="A11" s="6">
        <v>1009</v>
      </c>
      <c r="B11" s="7" t="s">
        <v>14</v>
      </c>
      <c r="C11" s="7">
        <v>41</v>
      </c>
      <c r="D11" s="7">
        <v>75</v>
      </c>
      <c r="E11" s="7">
        <v>56</v>
      </c>
      <c r="F11" s="8">
        <v>44541</v>
      </c>
      <c r="G11" s="9">
        <f t="shared" si="0"/>
        <v>0.57333333333333336</v>
      </c>
      <c r="H11" s="10" t="str">
        <f t="shared" si="1"/>
        <v>B</v>
      </c>
      <c r="I11" t="str">
        <f>IF(AND(Table1[[#This Row],[Math]]&gt;80, Table1[[#This Row],[Science]]&gt;80),"top","no")</f>
        <v>no</v>
      </c>
      <c r="L11" t="str">
        <f>VLOOKUP(L10,Table1[#All],2,FALSE)</f>
        <v>Student 1</v>
      </c>
    </row>
    <row r="12" spans="1:15" ht="28.8" x14ac:dyDescent="0.3">
      <c r="A12" s="6">
        <v>1010</v>
      </c>
      <c r="B12" s="7" t="s">
        <v>15</v>
      </c>
      <c r="C12" s="7">
        <v>98</v>
      </c>
      <c r="D12" s="7">
        <v>54</v>
      </c>
      <c r="E12" s="7">
        <v>58</v>
      </c>
      <c r="F12" s="8">
        <v>44721</v>
      </c>
      <c r="G12" s="9">
        <f t="shared" si="0"/>
        <v>0.7</v>
      </c>
      <c r="H12" s="10" t="str">
        <f t="shared" si="1"/>
        <v>B</v>
      </c>
      <c r="I12" t="str">
        <f>IF(AND(Table1[[#This Row],[Math]]&gt;80, Table1[[#This Row],[Science]]&gt;80),"top","no")</f>
        <v>no</v>
      </c>
      <c r="L12" s="23" t="s">
        <v>101</v>
      </c>
      <c r="M12" s="23"/>
      <c r="N12" s="23"/>
      <c r="O12" s="23"/>
    </row>
    <row r="13" spans="1:15" ht="28.8" x14ac:dyDescent="0.3">
      <c r="A13" s="6">
        <v>1011</v>
      </c>
      <c r="B13" s="7" t="s">
        <v>16</v>
      </c>
      <c r="C13" s="7">
        <v>73</v>
      </c>
      <c r="D13" s="7">
        <v>79</v>
      </c>
      <c r="E13" s="7">
        <v>53</v>
      </c>
      <c r="F13" s="8">
        <v>44901</v>
      </c>
      <c r="G13" s="9">
        <f t="shared" si="0"/>
        <v>0.68333333333333335</v>
      </c>
      <c r="H13" s="10" t="str">
        <f t="shared" si="1"/>
        <v>B</v>
      </c>
      <c r="I13" t="str">
        <f>IF(AND(Table1[[#This Row],[Math]]&gt;80, Table1[[#This Row],[Science]]&gt;80),"top","no")</f>
        <v>no</v>
      </c>
      <c r="L13" t="str" cm="1">
        <f t="array" ref="L13:L28">_xlfn._xlws.FILTER(Table1[Name],Table1[percent]&gt;0.6)</f>
        <v>Student 1</v>
      </c>
    </row>
    <row r="14" spans="1:15" ht="28.8" x14ac:dyDescent="0.3">
      <c r="A14" s="6">
        <v>1012</v>
      </c>
      <c r="B14" s="7" t="s">
        <v>17</v>
      </c>
      <c r="C14" s="7">
        <v>85</v>
      </c>
      <c r="D14" s="7">
        <v>89</v>
      </c>
      <c r="E14" s="7">
        <v>79</v>
      </c>
      <c r="F14" s="8">
        <v>45081</v>
      </c>
      <c r="G14" s="9">
        <f t="shared" si="0"/>
        <v>0.84333333333333338</v>
      </c>
      <c r="H14" s="10" t="str">
        <f t="shared" si="1"/>
        <v>A</v>
      </c>
      <c r="I14" t="str">
        <f>IF(AND(Table1[[#This Row],[Math]]&gt;80, Table1[[#This Row],[Science]]&gt;80),"top","no")</f>
        <v>top</v>
      </c>
      <c r="L14" t="str">
        <v>Student 2</v>
      </c>
    </row>
    <row r="15" spans="1:15" ht="28.8" x14ac:dyDescent="0.3">
      <c r="A15" s="6">
        <v>1013</v>
      </c>
      <c r="B15" s="7" t="s">
        <v>18</v>
      </c>
      <c r="C15" s="7">
        <v>98</v>
      </c>
      <c r="D15" s="7">
        <v>90</v>
      </c>
      <c r="E15" s="7">
        <v>97</v>
      </c>
      <c r="F15" s="8">
        <v>45261</v>
      </c>
      <c r="G15" s="9">
        <f t="shared" si="0"/>
        <v>0.95</v>
      </c>
      <c r="H15" s="10" t="str">
        <f t="shared" si="1"/>
        <v>A</v>
      </c>
      <c r="I15" t="str">
        <f>IF(AND(Table1[[#This Row],[Math]]&gt;80, Table1[[#This Row],[Science]]&gt;80),"top","no")</f>
        <v>top</v>
      </c>
      <c r="L15" t="str">
        <v>Student 3</v>
      </c>
    </row>
    <row r="16" spans="1:15" ht="28.8" x14ac:dyDescent="0.3">
      <c r="A16" s="6">
        <v>1014</v>
      </c>
      <c r="B16" s="7" t="s">
        <v>19</v>
      </c>
      <c r="C16" s="7">
        <v>93</v>
      </c>
      <c r="D16" s="7">
        <v>40</v>
      </c>
      <c r="E16" s="7">
        <v>44</v>
      </c>
      <c r="F16" s="8">
        <v>45441</v>
      </c>
      <c r="G16" s="9">
        <f t="shared" si="0"/>
        <v>0.59</v>
      </c>
      <c r="H16" s="10" t="str">
        <f t="shared" si="1"/>
        <v>B</v>
      </c>
      <c r="I16" t="str">
        <f>IF(AND(Table1[[#This Row],[Math]]&gt;80, Table1[[#This Row],[Science]]&gt;80),"top","no")</f>
        <v>no</v>
      </c>
      <c r="L16" t="str">
        <v>Student 5</v>
      </c>
    </row>
    <row r="17" spans="1:12" ht="28.8" x14ac:dyDescent="0.3">
      <c r="A17" s="6">
        <v>1015</v>
      </c>
      <c r="B17" s="7" t="s">
        <v>20</v>
      </c>
      <c r="C17" s="7">
        <v>70</v>
      </c>
      <c r="D17" s="7">
        <v>51</v>
      </c>
      <c r="E17" s="7">
        <v>75</v>
      </c>
      <c r="F17" s="8">
        <v>45621</v>
      </c>
      <c r="G17" s="9">
        <f t="shared" si="0"/>
        <v>0.65333333333333332</v>
      </c>
      <c r="H17" s="10" t="str">
        <f t="shared" si="1"/>
        <v>B</v>
      </c>
      <c r="I17" t="str">
        <f>IF(AND(Table1[[#This Row],[Math]]&gt;80, Table1[[#This Row],[Science]]&gt;80),"top","no")</f>
        <v>no</v>
      </c>
      <c r="L17" t="str">
        <v>Student 6</v>
      </c>
    </row>
    <row r="18" spans="1:12" ht="28.8" x14ac:dyDescent="0.3">
      <c r="A18" s="6">
        <v>1016</v>
      </c>
      <c r="B18" s="7" t="s">
        <v>21</v>
      </c>
      <c r="C18" s="7">
        <v>98</v>
      </c>
      <c r="D18" s="7">
        <v>77</v>
      </c>
      <c r="E18" s="7">
        <v>60</v>
      </c>
      <c r="F18" s="8">
        <v>45801</v>
      </c>
      <c r="G18" s="9">
        <f t="shared" si="0"/>
        <v>0.78333333333333333</v>
      </c>
      <c r="H18" s="10" t="str">
        <f t="shared" si="1"/>
        <v>B</v>
      </c>
      <c r="I18" t="str">
        <f>IF(AND(Table1[[#This Row],[Math]]&gt;80, Table1[[#This Row],[Science]]&gt;80),"top","no")</f>
        <v>no</v>
      </c>
      <c r="L18" t="str">
        <v>Student 7</v>
      </c>
    </row>
    <row r="19" spans="1:12" ht="28.8" x14ac:dyDescent="0.3">
      <c r="A19" s="6">
        <v>1017</v>
      </c>
      <c r="B19" s="7" t="s">
        <v>22</v>
      </c>
      <c r="C19" s="7">
        <v>66</v>
      </c>
      <c r="D19" s="7">
        <v>59</v>
      </c>
      <c r="E19" s="7">
        <v>40</v>
      </c>
      <c r="F19" s="8">
        <v>45981</v>
      </c>
      <c r="G19" s="9">
        <f t="shared" si="0"/>
        <v>0.55000000000000004</v>
      </c>
      <c r="H19" s="10" t="str">
        <f t="shared" si="1"/>
        <v>B</v>
      </c>
      <c r="I19" t="str">
        <f>IF(AND(Table1[[#This Row],[Math]]&gt;80, Table1[[#This Row],[Science]]&gt;80),"top","no")</f>
        <v>no</v>
      </c>
      <c r="L19" t="str">
        <v>Student 8</v>
      </c>
    </row>
    <row r="20" spans="1:12" ht="28.8" x14ac:dyDescent="0.3">
      <c r="A20" s="6">
        <v>1018</v>
      </c>
      <c r="B20" s="7" t="s">
        <v>23</v>
      </c>
      <c r="C20" s="7">
        <v>82</v>
      </c>
      <c r="D20" s="7">
        <v>48</v>
      </c>
      <c r="E20" s="7">
        <v>79</v>
      </c>
      <c r="F20" s="8">
        <v>46161</v>
      </c>
      <c r="G20" s="9">
        <f t="shared" si="0"/>
        <v>0.69666666666666666</v>
      </c>
      <c r="H20" s="10" t="str">
        <f t="shared" si="1"/>
        <v>B</v>
      </c>
      <c r="I20" t="str">
        <f>IF(AND(Table1[[#This Row],[Math]]&gt;80, Table1[[#This Row],[Science]]&gt;80),"top","no")</f>
        <v>no</v>
      </c>
      <c r="L20" t="str">
        <v>Student 10</v>
      </c>
    </row>
    <row r="21" spans="1:12" ht="28.8" x14ac:dyDescent="0.3">
      <c r="A21" s="6">
        <v>1019</v>
      </c>
      <c r="B21" s="7" t="s">
        <v>24</v>
      </c>
      <c r="C21" s="7">
        <v>90</v>
      </c>
      <c r="D21" s="7">
        <v>78</v>
      </c>
      <c r="E21" s="7">
        <v>60</v>
      </c>
      <c r="F21" s="8">
        <v>46341</v>
      </c>
      <c r="G21" s="9">
        <f t="shared" si="0"/>
        <v>0.76</v>
      </c>
      <c r="H21" s="10" t="str">
        <f t="shared" si="1"/>
        <v>B</v>
      </c>
      <c r="I21" t="str">
        <f>IF(AND(Table1[[#This Row],[Math]]&gt;80, Table1[[#This Row],[Science]]&gt;80),"top","no")</f>
        <v>no</v>
      </c>
      <c r="L21" t="str">
        <v>Student 11</v>
      </c>
    </row>
    <row r="22" spans="1:12" ht="28.8" x14ac:dyDescent="0.3">
      <c r="A22" s="11">
        <v>1020</v>
      </c>
      <c r="B22" s="12" t="s">
        <v>25</v>
      </c>
      <c r="C22" s="12">
        <v>83</v>
      </c>
      <c r="D22" s="12">
        <v>92</v>
      </c>
      <c r="E22" s="12">
        <v>55</v>
      </c>
      <c r="F22" s="13">
        <v>46521</v>
      </c>
      <c r="G22" s="14">
        <f t="shared" si="0"/>
        <v>0.76666666666666672</v>
      </c>
      <c r="H22" s="15" t="str">
        <f t="shared" si="1"/>
        <v>B</v>
      </c>
      <c r="I22" t="str">
        <f>IF(AND(Table1[[#This Row],[Math]]&gt;80, Table1[[#This Row],[Science]]&gt;80),"top","no")</f>
        <v>top</v>
      </c>
      <c r="L22" t="str">
        <v>Student 12</v>
      </c>
    </row>
    <row r="23" spans="1:12" x14ac:dyDescent="0.3">
      <c r="L23" t="str">
        <v>Student 13</v>
      </c>
    </row>
    <row r="24" spans="1:12" x14ac:dyDescent="0.3">
      <c r="L24" t="str">
        <v>Student 15</v>
      </c>
    </row>
    <row r="25" spans="1:12" x14ac:dyDescent="0.3">
      <c r="L25" t="str">
        <v>Student 16</v>
      </c>
    </row>
    <row r="26" spans="1:12" x14ac:dyDescent="0.3">
      <c r="L26" t="str">
        <v>Student 18</v>
      </c>
    </row>
    <row r="27" spans="1:12" x14ac:dyDescent="0.3">
      <c r="L27" t="str">
        <v>Student 19</v>
      </c>
    </row>
    <row r="28" spans="1:12" x14ac:dyDescent="0.3">
      <c r="L28" t="str">
        <v>Student 20</v>
      </c>
    </row>
  </sheetData>
  <mergeCells count="1">
    <mergeCell ref="L12:O12"/>
  </mergeCells>
  <dataValidations count="1">
    <dataValidation type="list" allowBlank="1" showInputMessage="1" showErrorMessage="1" sqref="K3" xr:uid="{AE9BC3D4-83FE-466E-95F4-85B67DAE3BA5}">
      <formula1>$B$3:$B$22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 rukmosa hasaji</dc:creator>
  <cp:lastModifiedBy>daksh rukmosa hasaji</cp:lastModifiedBy>
  <dcterms:created xsi:type="dcterms:W3CDTF">2026-02-21T13:15:04Z</dcterms:created>
  <dcterms:modified xsi:type="dcterms:W3CDTF">2026-02-25T11:53:10Z</dcterms:modified>
</cp:coreProperties>
</file>